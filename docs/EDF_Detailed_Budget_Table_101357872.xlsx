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Budge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EUROPEAN DEFENCE FUND (EDF-2026-RA) — DETAILED BUDGET TABLE</t>
        </is>
      </c>
    </row>
    <row r="2">
      <c r="A2" s="2" t="inlineStr">
        <is>
          <t>Proposal: 101357872 — AETERNA-QSTN | Call: EDF-2026-RA-CYBER-QSTN | Coordinator: AETERNA Technologies (PIC: 865986222)</t>
        </is>
      </c>
    </row>
    <row r="4">
      <c r="A4" s="3" t="inlineStr">
        <is>
          <t>Cost Category</t>
        </is>
      </c>
      <c r="B4" s="3" t="inlineStr">
        <is>
          <t>MoD BG (BG) [PIC: 876914824]</t>
        </is>
      </c>
      <c r="C4" s="3" t="inlineStr">
        <is>
          <t>EETT (GR) [PIC: 916613432]</t>
        </is>
      </c>
      <c r="D4" s="3" t="inlineStr">
        <is>
          <t>LMU Munich (DE) [PIC: 999978433]</t>
        </is>
      </c>
      <c r="E4" s="3" t="inlineStr">
        <is>
          <t>AETERNA (BG) [PIC: 865986222]</t>
        </is>
      </c>
      <c r="F4" s="3" t="inlineStr">
        <is>
          <t>Consortium Total (€)</t>
        </is>
      </c>
    </row>
    <row r="5">
      <c r="A5" s="4" t="inlineStr">
        <is>
          <t>A. Personnel Costs</t>
        </is>
      </c>
      <c r="B5" s="5" t="n">
        <v>3600000</v>
      </c>
      <c r="C5" s="5" t="n">
        <v>2300000</v>
      </c>
      <c r="D5" s="5" t="n">
        <v>1800000</v>
      </c>
      <c r="E5" s="5" t="n">
        <v>1350000</v>
      </c>
      <c r="F5" s="5">
        <f>SUM(B5:E5)</f>
        <v/>
      </c>
    </row>
    <row r="6">
      <c r="A6" s="4" t="inlineStr">
        <is>
          <t>B. Subcontracting Costs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>
        <f>SUM(B6:E6)</f>
        <v/>
      </c>
    </row>
    <row r="7">
      <c r="A7" s="4" t="inlineStr">
        <is>
          <t>C.1 Travel and Subsistence</t>
        </is>
      </c>
      <c r="B7" s="5" t="n">
        <v>880000</v>
      </c>
      <c r="C7" s="5" t="n">
        <v>500000</v>
      </c>
      <c r="D7" s="5" t="n">
        <v>440000</v>
      </c>
      <c r="E7" s="5" t="n">
        <v>330000</v>
      </c>
      <c r="F7" s="5">
        <f>SUM(B7:E7)</f>
        <v/>
      </c>
    </row>
    <row r="8">
      <c r="A8" s="4" t="inlineStr">
        <is>
          <t>C.2 Equipment (Depreciation)</t>
        </is>
      </c>
      <c r="B8" s="5" t="n">
        <v>0</v>
      </c>
      <c r="C8" s="5" t="n">
        <v>0</v>
      </c>
      <c r="D8" s="5" t="n">
        <v>0</v>
      </c>
      <c r="E8" s="5" t="n">
        <v>0</v>
      </c>
      <c r="F8" s="5">
        <f>SUM(B8:E8)</f>
        <v/>
      </c>
    </row>
    <row r="9">
      <c r="A9" s="4" t="inlineStr">
        <is>
          <t>C.3 Other Goods and Services</t>
        </is>
      </c>
      <c r="B9" s="5" t="n">
        <v>0</v>
      </c>
      <c r="C9" s="5" t="n">
        <v>0</v>
      </c>
      <c r="D9" s="5" t="n">
        <v>0</v>
      </c>
      <c r="E9" s="5" t="n">
        <v>0</v>
      </c>
      <c r="F9" s="5">
        <f>SUM(B9:E9)</f>
        <v/>
      </c>
    </row>
    <row r="10">
      <c r="A10" s="6" t="inlineStr">
        <is>
          <t>Total Direct Eligible Costs</t>
        </is>
      </c>
      <c r="B10" s="7">
        <f>SUM(B5:B9)</f>
        <v/>
      </c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</row>
    <row r="11">
      <c r="A11" s="4" t="inlineStr">
        <is>
          <t>E. Indirect Costs (25% Flat Rate)</t>
        </is>
      </c>
      <c r="B11" s="5">
        <f>B10*0.25</f>
        <v/>
      </c>
      <c r="C11" s="5">
        <f>C10*0.25</f>
        <v/>
      </c>
      <c r="D11" s="5">
        <f>D10*0.25</f>
        <v/>
      </c>
      <c r="E11" s="5">
        <f>E10*0.25</f>
        <v/>
      </c>
      <c r="F11" s="5">
        <f>SUM(B11:E11)</f>
        <v/>
      </c>
    </row>
    <row r="12">
      <c r="A12" s="6" t="inlineStr">
        <is>
          <t>Total Eligible Costs</t>
        </is>
      </c>
      <c r="B12" s="7">
        <f>B10+B11</f>
        <v/>
      </c>
      <c r="C12" s="7">
        <f>C10+C11</f>
        <v/>
      </c>
      <c r="D12" s="7">
        <f>D10+D11</f>
        <v/>
      </c>
      <c r="E12" s="7">
        <f>E10+E11</f>
        <v/>
      </c>
      <c r="F12" s="7">
        <f>SUM(B12:E12)</f>
        <v/>
      </c>
    </row>
    <row r="13">
      <c r="A13" s="4" t="inlineStr">
        <is>
          <t>Reimbursement Rate (%)</t>
        </is>
      </c>
      <c r="B13" s="8" t="inlineStr">
        <is>
          <t>100%</t>
        </is>
      </c>
      <c r="C13" s="8" t="inlineStr">
        <is>
          <t>100%</t>
        </is>
      </c>
      <c r="D13" s="8" t="inlineStr">
        <is>
          <t>100%</t>
        </is>
      </c>
      <c r="E13" s="8" t="inlineStr">
        <is>
          <t>100%</t>
        </is>
      </c>
      <c r="F13" s="8" t="inlineStr">
        <is>
          <t>100%</t>
        </is>
      </c>
    </row>
    <row r="14">
      <c r="A14" s="6" t="inlineStr">
        <is>
          <t>Max Grant Amount Requested (€)</t>
        </is>
      </c>
      <c r="B14" s="7">
        <f>B12</f>
        <v/>
      </c>
      <c r="C14" s="7">
        <f>C12</f>
        <v/>
      </c>
      <c r="D14" s="7">
        <f>D12</f>
        <v/>
      </c>
      <c r="E14" s="7">
        <f>E12</f>
        <v/>
      </c>
      <c r="F14" s="7">
        <f>SUM(B14:E14)</f>
        <v/>
      </c>
    </row>
    <row r="15">
      <c r="A15" s="6" t="inlineStr">
        <is>
          <t>Partner Share of Total Grant (%)</t>
        </is>
      </c>
      <c r="B15" s="9">
        <f>B14/</f>
        <v/>
      </c>
      <c r="C15" s="9">
        <f>C14/</f>
        <v/>
      </c>
      <c r="D15" s="9">
        <f>D14/</f>
        <v/>
      </c>
      <c r="E15" s="9">
        <f>E14/</f>
        <v/>
      </c>
      <c r="F15" s="10" t="inlineStr">
        <is>
          <t>100%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2026-10-08T15:43:16Z</dcterms:created>
  <dcterms:modified xmlns:dcterms="http://purl.org/dc/terms/" xmlns:xsi="http://www.w3.org/2001/XMLSchema-instance" xsi:type="dcterms:W3CDTF">2026-10-08T15:43:16Z</dcterms:modified>
</cp:coreProperties>
</file>